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6E31B5D-E909-403E-97E6-40FA825EFD42}" xr6:coauthVersionLast="47" xr6:coauthVersionMax="47" xr10:uidLastSave="{00000000-0000-0000-0000-000000000000}"/>
  <bookViews>
    <workbookView xWindow="-108" yWindow="-108" windowWidth="23256" windowHeight="12456" xr2:uid="{9FA284AA-5B4C-40FD-A06E-7E80FFBCE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O6" i="1"/>
  <c r="H6" i="1"/>
  <c r="H5" i="1"/>
  <c r="H4" i="1"/>
  <c r="S3" i="1"/>
  <c r="R3" i="1"/>
  <c r="U3" i="1" s="1"/>
  <c r="K3" i="1"/>
  <c r="H3" i="1"/>
  <c r="J3" i="1" s="1"/>
  <c r="E3" i="1"/>
  <c r="M3" i="1" l="1"/>
  <c r="O3" i="1" s="1"/>
  <c r="O8" i="1" s="1"/>
  <c r="U4" i="1" s="1"/>
  <c r="M4" i="1"/>
  <c r="O4" i="1" s="1"/>
  <c r="M5" i="1"/>
  <c r="O5" i="1" s="1"/>
</calcChain>
</file>

<file path=xl/sharedStrings.xml><?xml version="1.0" encoding="utf-8"?>
<sst xmlns="http://schemas.openxmlformats.org/spreadsheetml/2006/main" count="30" uniqueCount="27">
  <si>
    <t>Shim Formula Sheet</t>
  </si>
  <si>
    <t>Size</t>
  </si>
  <si>
    <t>L</t>
  </si>
  <si>
    <t>W</t>
  </si>
  <si>
    <t>AREA</t>
  </si>
  <si>
    <t>HOLE / SLOT (Size)</t>
  </si>
  <si>
    <t>QTY</t>
  </si>
  <si>
    <t>TOT AREA</t>
  </si>
  <si>
    <t>NO SRT PT</t>
  </si>
  <si>
    <t>TH</t>
  </si>
  <si>
    <t>COST</t>
  </si>
  <si>
    <t>VALUE</t>
  </si>
  <si>
    <t>WT</t>
  </si>
  <si>
    <t>THK</t>
  </si>
  <si>
    <t>M RATE</t>
  </si>
  <si>
    <t>Mat COST</t>
  </si>
  <si>
    <t>MATERIAL COST</t>
  </si>
  <si>
    <t>Plane &amp; Hole Shims</t>
  </si>
  <si>
    <t>Hole 2(Dia)</t>
  </si>
  <si>
    <t>FINAL AMOUNT</t>
  </si>
  <si>
    <t>Hole 3(Dia)</t>
  </si>
  <si>
    <t>Slotted Shims</t>
  </si>
  <si>
    <t>Slot 1 Length</t>
  </si>
  <si>
    <t>Slot 1 Radius</t>
  </si>
  <si>
    <t xml:space="preserve"> </t>
  </si>
  <si>
    <t>Slot 2 Length</t>
  </si>
  <si>
    <t>Slot 2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</si>
</sst>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8"/>
      <color rgb="FFFF0000"/>
      <name val="Calibri Light"/>
      <family val="1"/>
      <scheme val="major"/>
    </font>
    <font>
      <sz val="1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164" fontId="4" fillId="8" borderId="15" xfId="0" applyNumberFormat="1" applyFont="1" applyFill="1" applyBorder="1" applyAlignment="1">
      <alignment horizontal="center" vertical="center"/>
    </xf>
    <xf numFmtId="1" fontId="4" fillId="8" borderId="11" xfId="0" applyNumberFormat="1" applyFont="1" applyFill="1" applyBorder="1" applyAlignment="1">
      <alignment horizontal="center" vertical="center"/>
    </xf>
    <xf numFmtId="1" fontId="4" fillId="8" borderId="12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4" fillId="6" borderId="13" xfId="0" applyNumberFormat="1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" fontId="3" fillId="6" borderId="23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164" fontId="4" fillId="8" borderId="21" xfId="0" applyNumberFormat="1" applyFont="1" applyFill="1" applyBorder="1" applyAlignment="1">
      <alignment horizontal="center" vertical="center"/>
    </xf>
    <xf numFmtId="1" fontId="4" fillId="8" borderId="22" xfId="0" applyNumberFormat="1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2" fontId="2" fillId="3" borderId="24" xfId="0" applyNumberFormat="1" applyFont="1" applyFill="1" applyBorder="1" applyAlignment="1">
      <alignment horizontal="center"/>
    </xf>
    <xf numFmtId="2" fontId="2" fillId="3" borderId="24" xfId="0" applyNumberFormat="1" applyFont="1" applyFill="1" applyBorder="1" applyAlignment="1">
      <alignment horizontal="center" vertical="center"/>
    </xf>
    <xf numFmtId="1" fontId="3" fillId="7" borderId="25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1" fontId="4" fillId="3" borderId="30" xfId="0" applyNumberFormat="1" applyFont="1" applyFill="1" applyBorder="1" applyAlignment="1">
      <alignment horizontal="center" vertical="center"/>
    </xf>
    <xf numFmtId="1" fontId="2" fillId="3" borderId="30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27</xdr:col>
      <xdr:colOff>205740</xdr:colOff>
      <xdr:row>62</xdr:row>
      <xdr:rowOff>53340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A4235979-D5D0-4CEA-8AB3-6B9BA93D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16664940" cy="95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1246-6A72-4E01-B19D-03F07A12FDF4}">
  <dimension ref="A1:U10"/>
  <sheetViews>
    <sheetView tabSelected="1" workbookViewId="0">
      <selection activeCell="A11" sqref="A11"/>
    </sheetView>
  </sheetViews>
  <sheetFormatPr defaultRowHeight="14.4" x14ac:dyDescent="0.3"/>
  <sheetData>
    <row r="1" spans="1:21" ht="37.200000000000003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4</v>
      </c>
      <c r="I2" s="8"/>
      <c r="J2" s="9" t="s">
        <v>7</v>
      </c>
      <c r="K2" s="9" t="s">
        <v>8</v>
      </c>
      <c r="L2" s="10" t="s">
        <v>9</v>
      </c>
      <c r="M2" s="11" t="s">
        <v>10</v>
      </c>
      <c r="N2" s="11" t="s">
        <v>6</v>
      </c>
      <c r="O2" s="12" t="s">
        <v>11</v>
      </c>
      <c r="P2" s="13"/>
      <c r="Q2" s="14"/>
      <c r="R2" s="6" t="s">
        <v>12</v>
      </c>
      <c r="S2" s="6" t="s">
        <v>13</v>
      </c>
      <c r="T2" s="6" t="s">
        <v>14</v>
      </c>
      <c r="U2" s="7" t="s">
        <v>15</v>
      </c>
    </row>
    <row r="3" spans="1:21" ht="15" thickBot="1" x14ac:dyDescent="0.35">
      <c r="A3" s="4"/>
      <c r="B3" s="15"/>
      <c r="C3" s="16">
        <v>190</v>
      </c>
      <c r="D3" s="16">
        <v>150</v>
      </c>
      <c r="E3" s="16">
        <f>(C3+D3)*2</f>
        <v>680</v>
      </c>
      <c r="F3" s="17">
        <v>17</v>
      </c>
      <c r="G3" s="17">
        <v>6</v>
      </c>
      <c r="H3" s="18">
        <f>3.14*F3*G3</f>
        <v>320.28000000000003</v>
      </c>
      <c r="I3" s="8"/>
      <c r="J3" s="19">
        <f>H3+H4+H5+H6+H7+H8+H9+E3</f>
        <v>1000.28</v>
      </c>
      <c r="K3" s="20">
        <f>G3+G4+G5+1</f>
        <v>7</v>
      </c>
      <c r="L3" s="21">
        <v>0.5</v>
      </c>
      <c r="M3" s="22">
        <f>J3*L3*0.022+(K3+K4)*2</f>
        <v>25.003079999999997</v>
      </c>
      <c r="N3" s="22">
        <v>2</v>
      </c>
      <c r="O3" s="23">
        <f>M3*N3</f>
        <v>50.006159999999994</v>
      </c>
      <c r="P3" s="13"/>
      <c r="Q3" s="24" t="s">
        <v>16</v>
      </c>
      <c r="R3" s="25">
        <f>(C3+5)*(D3+5)*0.00000786</f>
        <v>0.23756849999999999</v>
      </c>
      <c r="S3" s="26">
        <f>L3*N3+L4*N4+L5*N5+L6*N6</f>
        <v>5</v>
      </c>
      <c r="T3" s="27">
        <v>84</v>
      </c>
      <c r="U3" s="28">
        <f>R3*S3*T3</f>
        <v>99.778769999999994</v>
      </c>
    </row>
    <row r="4" spans="1:21" ht="15" thickBot="1" x14ac:dyDescent="0.35">
      <c r="A4" s="4"/>
      <c r="B4" s="29" t="s">
        <v>17</v>
      </c>
      <c r="C4" s="30" t="s">
        <v>18</v>
      </c>
      <c r="D4" s="31"/>
      <c r="E4" s="32"/>
      <c r="F4" s="33">
        <v>0</v>
      </c>
      <c r="G4" s="17">
        <v>0</v>
      </c>
      <c r="H4" s="18">
        <f>3.14*F4*G4</f>
        <v>0</v>
      </c>
      <c r="I4" s="8"/>
      <c r="J4" s="34"/>
      <c r="K4" s="35"/>
      <c r="L4" s="21">
        <v>1</v>
      </c>
      <c r="M4" s="22">
        <f>J3*L4*0.022+(K3+K4)*2</f>
        <v>36.006159999999994</v>
      </c>
      <c r="N4" s="22">
        <v>2</v>
      </c>
      <c r="O4" s="23">
        <f>M4*N4</f>
        <v>72.012319999999988</v>
      </c>
      <c r="P4" s="13"/>
      <c r="Q4" s="36" t="s">
        <v>19</v>
      </c>
      <c r="R4" s="37"/>
      <c r="S4" s="37"/>
      <c r="T4" s="38"/>
      <c r="U4" s="39">
        <f>(O8+U3)*1.2</f>
        <v>335.77148399999993</v>
      </c>
    </row>
    <row r="5" spans="1:21" x14ac:dyDescent="0.3">
      <c r="A5" s="4"/>
      <c r="B5" s="40"/>
      <c r="C5" s="30" t="s">
        <v>20</v>
      </c>
      <c r="D5" s="31"/>
      <c r="E5" s="32"/>
      <c r="F5" s="17">
        <v>0</v>
      </c>
      <c r="G5" s="17">
        <v>0</v>
      </c>
      <c r="H5" s="18">
        <f>3.14*F5*G5</f>
        <v>0</v>
      </c>
      <c r="I5" s="8"/>
      <c r="J5" s="34"/>
      <c r="K5" s="34"/>
      <c r="L5" s="21">
        <v>2</v>
      </c>
      <c r="M5" s="22">
        <f>J3*L5*0.022+(K3+K4)*2</f>
        <v>58.012319999999995</v>
      </c>
      <c r="N5" s="22">
        <v>1</v>
      </c>
      <c r="O5" s="23">
        <f>M5*N5</f>
        <v>58.012319999999995</v>
      </c>
      <c r="P5" s="13"/>
      <c r="Q5" s="8"/>
      <c r="R5" s="8"/>
      <c r="S5" s="8"/>
      <c r="T5" s="8"/>
      <c r="U5" s="41"/>
    </row>
    <row r="6" spans="1:21" ht="15" thickBot="1" x14ac:dyDescent="0.35">
      <c r="A6" s="4"/>
      <c r="B6" s="42" t="s">
        <v>21</v>
      </c>
      <c r="C6" s="43" t="s">
        <v>22</v>
      </c>
      <c r="D6" s="44"/>
      <c r="E6" s="45"/>
      <c r="F6" s="46">
        <v>0</v>
      </c>
      <c r="G6" s="46">
        <v>0</v>
      </c>
      <c r="H6" s="47">
        <f>F6*G6</f>
        <v>0</v>
      </c>
      <c r="I6" s="8"/>
      <c r="J6" s="34"/>
      <c r="K6" s="34"/>
      <c r="L6" s="48">
        <v>0</v>
      </c>
      <c r="M6" s="49">
        <v>0</v>
      </c>
      <c r="N6" s="49">
        <v>0</v>
      </c>
      <c r="O6" s="50">
        <f>M6*N6</f>
        <v>0</v>
      </c>
      <c r="P6" s="13"/>
      <c r="Q6" s="13"/>
      <c r="R6" s="13"/>
      <c r="S6" s="13"/>
      <c r="T6" s="8"/>
      <c r="U6" s="51"/>
    </row>
    <row r="7" spans="1:21" ht="15" thickBot="1" x14ac:dyDescent="0.35">
      <c r="A7" s="4"/>
      <c r="B7" s="42"/>
      <c r="C7" s="43" t="s">
        <v>23</v>
      </c>
      <c r="D7" s="44"/>
      <c r="E7" s="45"/>
      <c r="F7" s="46">
        <v>0</v>
      </c>
      <c r="G7" s="46">
        <v>0</v>
      </c>
      <c r="H7" s="47">
        <f>3.14*F7*G7</f>
        <v>0</v>
      </c>
      <c r="I7" s="8"/>
      <c r="J7" s="34" t="s">
        <v>24</v>
      </c>
      <c r="K7" s="13"/>
      <c r="L7" s="13"/>
      <c r="M7" s="13"/>
      <c r="N7" s="13"/>
      <c r="O7" s="13"/>
      <c r="P7" s="13"/>
      <c r="Q7" s="13"/>
      <c r="R7" s="13"/>
      <c r="S7" s="13"/>
      <c r="T7" s="8"/>
      <c r="U7" s="52"/>
    </row>
    <row r="8" spans="1:21" ht="15" thickBot="1" x14ac:dyDescent="0.35">
      <c r="A8" s="4"/>
      <c r="B8" s="42"/>
      <c r="C8" s="43" t="s">
        <v>25</v>
      </c>
      <c r="D8" s="44"/>
      <c r="E8" s="45"/>
      <c r="F8" s="46">
        <v>0</v>
      </c>
      <c r="G8" s="46">
        <v>0</v>
      </c>
      <c r="H8" s="47">
        <f>F8*G8</f>
        <v>0</v>
      </c>
      <c r="I8" s="8"/>
      <c r="J8" s="34"/>
      <c r="K8" s="13"/>
      <c r="L8" s="13"/>
      <c r="M8" s="13"/>
      <c r="N8" s="13"/>
      <c r="O8" s="53">
        <f>SUM(O3:O6)</f>
        <v>180.03079999999997</v>
      </c>
      <c r="P8" s="13"/>
      <c r="Q8" s="13"/>
      <c r="R8" s="13"/>
      <c r="S8" s="13"/>
      <c r="T8" s="8"/>
      <c r="U8" s="41"/>
    </row>
    <row r="9" spans="1:21" ht="15" thickBot="1" x14ac:dyDescent="0.35">
      <c r="A9" s="4"/>
      <c r="B9" s="54"/>
      <c r="C9" s="55" t="s">
        <v>26</v>
      </c>
      <c r="D9" s="56"/>
      <c r="E9" s="57"/>
      <c r="F9" s="58">
        <v>0</v>
      </c>
      <c r="G9" s="58">
        <v>0</v>
      </c>
      <c r="H9" s="59">
        <f>3.14*F9*G9</f>
        <v>0</v>
      </c>
      <c r="I9" s="8"/>
      <c r="J9" s="34"/>
      <c r="K9" s="34"/>
      <c r="L9" s="13"/>
      <c r="M9" s="13"/>
      <c r="N9" s="13" t="s">
        <v>24</v>
      </c>
      <c r="O9" s="8"/>
      <c r="P9" s="13"/>
      <c r="Q9" s="13"/>
      <c r="R9" s="13"/>
      <c r="S9" s="13"/>
      <c r="T9" s="8"/>
      <c r="U9" s="41"/>
    </row>
    <row r="10" spans="1:21" ht="15" thickBot="1" x14ac:dyDescent="0.35">
      <c r="A10" s="60"/>
      <c r="B10" s="61"/>
      <c r="C10" s="62"/>
      <c r="D10" s="62"/>
      <c r="E10" s="62"/>
      <c r="F10" s="62"/>
      <c r="G10" s="62"/>
      <c r="H10" s="62"/>
      <c r="I10" s="62"/>
      <c r="J10" s="63"/>
      <c r="K10" s="63"/>
      <c r="L10" s="64"/>
      <c r="M10" s="64"/>
      <c r="N10" s="64"/>
      <c r="O10" s="64"/>
      <c r="P10" s="64"/>
      <c r="Q10" s="64"/>
      <c r="R10" s="64"/>
      <c r="S10" s="64"/>
      <c r="T10" s="62"/>
      <c r="U10" s="65"/>
    </row>
  </sheetData>
  <mergeCells count="10">
    <mergeCell ref="A1:U1"/>
    <mergeCell ref="B2:B3"/>
    <mergeCell ref="B4:B5"/>
    <mergeCell ref="C4:E4"/>
    <mergeCell ref="C5:E5"/>
    <mergeCell ref="B6:B9"/>
    <mergeCell ref="C6:E6"/>
    <mergeCell ref="C7:E7"/>
    <mergeCell ref="C8:E8"/>
    <mergeCell ref="C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 saha</dc:creator>
  <cp:lastModifiedBy>Nirmala saha</cp:lastModifiedBy>
  <dcterms:created xsi:type="dcterms:W3CDTF">2026-05-18T07:24:24Z</dcterms:created>
  <dcterms:modified xsi:type="dcterms:W3CDTF">2026-05-18T07:25:43Z</dcterms:modified>
</cp:coreProperties>
</file>