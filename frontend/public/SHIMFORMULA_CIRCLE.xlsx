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CBEB379-CD86-4CF3-8A14-7CB0A879B46C}" xr6:coauthVersionLast="47" xr6:coauthVersionMax="47" xr10:uidLastSave="{00000000-0000-0000-0000-000000000000}"/>
  <bookViews>
    <workbookView xWindow="-108" yWindow="-108" windowWidth="23256" windowHeight="12456" xr2:uid="{50B014EF-A998-49B4-A18E-46121D8BD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H4" i="1"/>
  <c r="H3" i="1"/>
  <c r="S2" i="1"/>
  <c r="R2" i="1"/>
  <c r="U2" i="1" s="1"/>
  <c r="K2" i="1"/>
  <c r="J2" i="1"/>
  <c r="M4" i="1" s="1"/>
  <c r="O4" i="1" s="1"/>
  <c r="H2" i="1"/>
  <c r="E2" i="1"/>
  <c r="M3" i="1" l="1"/>
  <c r="O3" i="1" s="1"/>
  <c r="M2" i="1"/>
  <c r="O2" i="1" s="1"/>
  <c r="O7" i="1" s="1"/>
  <c r="U3" i="1" s="1"/>
</calcChain>
</file>

<file path=xl/sharedStrings.xml><?xml version="1.0" encoding="utf-8"?>
<sst xmlns="http://schemas.openxmlformats.org/spreadsheetml/2006/main" count="18" uniqueCount="18">
  <si>
    <t>Round &amp; Hole Shim</t>
  </si>
  <si>
    <t>Dia</t>
  </si>
  <si>
    <t>AREA</t>
  </si>
  <si>
    <t>HOLE DIA</t>
  </si>
  <si>
    <t>NO HOLES</t>
  </si>
  <si>
    <t>HOLE AREA</t>
  </si>
  <si>
    <t>TOT AREA</t>
  </si>
  <si>
    <t>NO SRT PT</t>
  </si>
  <si>
    <t>TH</t>
  </si>
  <si>
    <t>COST</t>
  </si>
  <si>
    <t>QTY</t>
  </si>
  <si>
    <t>VALUE</t>
  </si>
  <si>
    <t>WT</t>
  </si>
  <si>
    <t>THK</t>
  </si>
  <si>
    <t>M RATE</t>
  </si>
  <si>
    <t>Mat COST</t>
  </si>
  <si>
    <t>MATERIAL COST</t>
  </si>
  <si>
    <t>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</si>
</sst>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1"/>
      <name val="Calibri Light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1" fontId="1" fillId="2" borderId="0" xfId="0" applyNumberFormat="1" applyFont="1" applyFill="1"/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164" fontId="3" fillId="5" borderId="9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3" fillId="5" borderId="10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4" fillId="2" borderId="0" xfId="0" applyFont="1" applyFill="1"/>
    <xf numFmtId="1" fontId="3" fillId="2" borderId="0" xfId="0" applyNumberFormat="1" applyFont="1" applyFill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 vertical="center"/>
    </xf>
    <xf numFmtId="1" fontId="3" fillId="5" borderId="12" xfId="0" applyNumberFormat="1" applyFont="1" applyFill="1" applyBorder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7" borderId="14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6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25</xdr:col>
      <xdr:colOff>510540</xdr:colOff>
      <xdr:row>60</xdr:row>
      <xdr:rowOff>167640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61059D54-065E-4368-94C5-C5EF9DF34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6380"/>
          <a:ext cx="15750540" cy="967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9142-DFAA-427C-AFB7-2BECD7D30D82}">
  <dimension ref="A1:U8"/>
  <sheetViews>
    <sheetView tabSelected="1" workbookViewId="0">
      <selection activeCell="F10" sqref="F10"/>
    </sheetView>
  </sheetViews>
  <sheetFormatPr defaultRowHeight="14.4" x14ac:dyDescent="0.3"/>
  <sheetData>
    <row r="1" spans="1:21" x14ac:dyDescent="0.3">
      <c r="A1" s="1"/>
      <c r="B1" s="47" t="s">
        <v>0</v>
      </c>
      <c r="C1" s="2"/>
      <c r="D1" s="3" t="s">
        <v>1</v>
      </c>
      <c r="E1" s="4" t="s">
        <v>2</v>
      </c>
      <c r="F1" s="3" t="s">
        <v>3</v>
      </c>
      <c r="G1" s="5" t="s">
        <v>4</v>
      </c>
      <c r="H1" s="4" t="s">
        <v>5</v>
      </c>
      <c r="I1" s="6"/>
      <c r="J1" s="7" t="s">
        <v>6</v>
      </c>
      <c r="K1" s="8" t="s">
        <v>7</v>
      </c>
      <c r="L1" s="7" t="s">
        <v>8</v>
      </c>
      <c r="M1" s="9" t="s">
        <v>9</v>
      </c>
      <c r="N1" s="9" t="s">
        <v>10</v>
      </c>
      <c r="O1" s="10" t="s">
        <v>11</v>
      </c>
      <c r="P1" s="11"/>
      <c r="Q1" s="3"/>
      <c r="R1" s="5" t="s">
        <v>12</v>
      </c>
      <c r="S1" s="5" t="s">
        <v>13</v>
      </c>
      <c r="T1" s="5" t="s">
        <v>14</v>
      </c>
      <c r="U1" s="4" t="s">
        <v>15</v>
      </c>
    </row>
    <row r="2" spans="1:21" ht="15" thickBot="1" x14ac:dyDescent="0.35">
      <c r="A2" s="1"/>
      <c r="B2" s="47"/>
      <c r="C2" s="2"/>
      <c r="D2" s="12">
        <v>116</v>
      </c>
      <c r="E2" s="13">
        <f>3.14*D2</f>
        <v>364.24</v>
      </c>
      <c r="F2" s="14">
        <v>65.5</v>
      </c>
      <c r="G2" s="15">
        <v>1</v>
      </c>
      <c r="H2" s="16">
        <f>3.14*F2*G2</f>
        <v>205.67000000000002</v>
      </c>
      <c r="I2" s="6"/>
      <c r="J2" s="17">
        <f>H2+H3+H4+E2</f>
        <v>682.95</v>
      </c>
      <c r="K2" s="18">
        <f>G2+G3+G4+1</f>
        <v>6</v>
      </c>
      <c r="L2" s="19">
        <v>0.5</v>
      </c>
      <c r="M2" s="20">
        <f>J2*L2*0.022+(K2*2)</f>
        <v>19.512450000000001</v>
      </c>
      <c r="N2" s="20">
        <v>2</v>
      </c>
      <c r="O2" s="21">
        <f>M2*N2</f>
        <v>39.024900000000002</v>
      </c>
      <c r="P2" s="11"/>
      <c r="Q2" s="22" t="s">
        <v>16</v>
      </c>
      <c r="R2" s="23">
        <f>(D2*D2*0.000006262)</f>
        <v>8.4261472000000004E-2</v>
      </c>
      <c r="S2" s="24">
        <f>L2*N2+L3*N3+L4*N4+L5*N5</f>
        <v>5</v>
      </c>
      <c r="T2" s="25">
        <v>84</v>
      </c>
      <c r="U2" s="26">
        <f>R2*S2*T2</f>
        <v>35.389818240000004</v>
      </c>
    </row>
    <row r="3" spans="1:21" ht="15" thickBot="1" x14ac:dyDescent="0.35">
      <c r="A3" s="1"/>
      <c r="B3" s="27"/>
      <c r="C3" s="2"/>
      <c r="D3" s="2"/>
      <c r="E3" s="2"/>
      <c r="F3" s="14">
        <v>9</v>
      </c>
      <c r="G3" s="15">
        <v>4</v>
      </c>
      <c r="H3" s="16">
        <f>3.14*F3*G3</f>
        <v>113.04</v>
      </c>
      <c r="I3" s="6"/>
      <c r="J3" s="28"/>
      <c r="K3" s="28"/>
      <c r="L3" s="19">
        <v>1</v>
      </c>
      <c r="M3" s="20">
        <f>J2*L3*0.022+(K2*2)</f>
        <v>27.024900000000002</v>
      </c>
      <c r="N3" s="20">
        <v>2</v>
      </c>
      <c r="O3" s="21">
        <f>M3*N3</f>
        <v>54.049800000000005</v>
      </c>
      <c r="P3" s="11"/>
      <c r="Q3" s="29" t="s">
        <v>17</v>
      </c>
      <c r="R3" s="30"/>
      <c r="S3" s="30"/>
      <c r="T3" s="31"/>
      <c r="U3" s="32">
        <f>(O7+U2)*1.2</f>
        <v>204.61718188800003</v>
      </c>
    </row>
    <row r="4" spans="1:21" ht="15" thickBot="1" x14ac:dyDescent="0.35">
      <c r="A4" s="1"/>
      <c r="B4" s="2"/>
      <c r="C4" s="2"/>
      <c r="D4" s="2"/>
      <c r="E4" s="2"/>
      <c r="F4" s="12">
        <v>0</v>
      </c>
      <c r="G4" s="33">
        <v>0</v>
      </c>
      <c r="H4" s="13">
        <f>3.14*F4*G4</f>
        <v>0</v>
      </c>
      <c r="I4" s="6"/>
      <c r="J4" s="28"/>
      <c r="K4" s="28"/>
      <c r="L4" s="19">
        <v>2</v>
      </c>
      <c r="M4" s="20">
        <f>J2*L4*0.022+(K2*2)</f>
        <v>42.049800000000005</v>
      </c>
      <c r="N4" s="20">
        <v>1</v>
      </c>
      <c r="O4" s="21">
        <f>M4*N4</f>
        <v>42.049800000000005</v>
      </c>
      <c r="P4" s="11"/>
      <c r="Q4" s="11"/>
      <c r="R4" s="11"/>
      <c r="S4" s="11"/>
      <c r="T4" s="2"/>
      <c r="U4" s="34"/>
    </row>
    <row r="5" spans="1:21" ht="15" thickBot="1" x14ac:dyDescent="0.35">
      <c r="A5" s="1"/>
      <c r="B5" s="2"/>
      <c r="C5" s="2"/>
      <c r="D5" s="2"/>
      <c r="E5" s="2"/>
      <c r="F5" s="6"/>
      <c r="G5" s="6"/>
      <c r="H5" s="6"/>
      <c r="I5" s="6"/>
      <c r="J5" s="28"/>
      <c r="K5" s="28"/>
      <c r="L5" s="35">
        <v>0</v>
      </c>
      <c r="M5" s="36">
        <v>0</v>
      </c>
      <c r="N5" s="36">
        <v>0</v>
      </c>
      <c r="O5" s="37">
        <f>M5*N5</f>
        <v>0</v>
      </c>
      <c r="P5" s="11"/>
      <c r="Q5" s="11"/>
      <c r="R5" s="11"/>
      <c r="S5" s="11"/>
      <c r="T5" s="2"/>
      <c r="U5" s="34"/>
    </row>
    <row r="6" spans="1:21" ht="15" thickBot="1" x14ac:dyDescent="0.35">
      <c r="A6" s="1"/>
      <c r="B6" s="2"/>
      <c r="C6" s="2"/>
      <c r="D6" s="2"/>
      <c r="E6" s="2"/>
      <c r="F6" s="6"/>
      <c r="G6" s="6"/>
      <c r="H6" s="6"/>
      <c r="I6" s="6"/>
      <c r="J6" s="38"/>
      <c r="K6" s="38"/>
      <c r="L6" s="38"/>
      <c r="M6" s="38"/>
      <c r="N6" s="38"/>
      <c r="O6" s="11"/>
      <c r="P6" s="11"/>
      <c r="Q6" s="11"/>
      <c r="R6" s="11"/>
      <c r="S6" s="11"/>
      <c r="T6" s="2"/>
      <c r="U6" s="34"/>
    </row>
    <row r="7" spans="1:21" ht="15" thickBot="1" x14ac:dyDescent="0.35">
      <c r="A7" s="39"/>
      <c r="B7" s="6"/>
      <c r="C7" s="6"/>
      <c r="D7" s="6"/>
      <c r="E7" s="6"/>
      <c r="F7" s="6"/>
      <c r="G7" s="6"/>
      <c r="H7" s="6"/>
      <c r="I7" s="6"/>
      <c r="J7" s="38"/>
      <c r="K7" s="38"/>
      <c r="L7" s="38"/>
      <c r="M7" s="38"/>
      <c r="N7" s="38"/>
      <c r="O7" s="40">
        <f>SUM(O2:O5)</f>
        <v>135.12450000000001</v>
      </c>
      <c r="P7" s="38"/>
      <c r="Q7" s="41"/>
      <c r="R7" s="38"/>
      <c r="S7" s="38"/>
      <c r="T7" s="6"/>
      <c r="U7" s="42"/>
    </row>
    <row r="8" spans="1:21" ht="15" thickBot="1" x14ac:dyDescent="0.35">
      <c r="A8" s="43"/>
      <c r="B8" s="44"/>
      <c r="C8" s="44"/>
      <c r="D8" s="44"/>
      <c r="E8" s="44"/>
      <c r="F8" s="44"/>
      <c r="G8" s="44"/>
      <c r="H8" s="44"/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4"/>
      <c r="U8" s="46"/>
    </row>
  </sheetData>
  <mergeCells count="1"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Nirmala saha</dc:creator>
  <cp:lastModifiedBy>Nirmala saha</cp:lastModifiedBy>
  <dcterms:created xsi:type="dcterms:W3CDTF">2026-05-18T07:22:13Z</dcterms:created>
  <dcterms:modified xsi:type="dcterms:W3CDTF">2026-05-18T07:27:49Z</dcterms:modified>
</cp:coreProperties>
</file>